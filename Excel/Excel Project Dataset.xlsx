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gvnce\Downloads\"/>
    </mc:Choice>
  </mc:AlternateContent>
  <xr:revisionPtr revIDLastSave="0" documentId="13_ncr:1_{7637AEA9-2F1E-4822-8690-805CC4330209}" xr6:coauthVersionLast="47" xr6:coauthVersionMax="47" xr10:uidLastSave="{00000000-0000-0000-0000-000000000000}"/>
  <bookViews>
    <workbookView xWindow="-108" yWindow="-108" windowWidth="23256" windowHeight="12456" activeTab="2" xr2:uid="{00000000-000D-0000-FFFF-FFFF00000000}"/>
  </bookViews>
  <sheets>
    <sheet name="bike_buyers" sheetId="1" r:id="rId1"/>
    <sheet name="Working Sheet" sheetId="4" r:id="rId2"/>
    <sheet name="Dashboard" sheetId="2" r:id="rId3"/>
    <sheet name="Pivot Table" sheetId="3"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<sst xmlns="http://schemas.openxmlformats.org/spreadsheetml/2006/main" count="16274" uniqueCount="52">
  <si>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</si>
  <si>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</si>
  <si>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</si>
  <si>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</si>
  <si>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</si>
  <si>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</si>
  <si>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</si>
  <si>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</si>
  <si>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</si>
  <si>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</si>
  <si>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</si>
  <si>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</si>
  <si>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</si>
  <si>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</si>
  <si>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</si>
  <si>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</si>
  <si>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</si>
  <si>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</si>
  <si>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</si>
  <si>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</si>
  <si>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</si>
  <si>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</si>
  <si>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</si>
  <si>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</si>
  <si>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</si>
  <si>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</si>
  <si>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</si>
  <si>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</si>
  <si>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</si>
  <si>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</si>
  <si>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</si>
  <si>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</si>
  <si>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</si>
  <si>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</si>
  <si>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</si>
  <si>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</si>
  <si>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</si>
  <si>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</si>
  <si>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</si>
  <si>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</si>
  <si>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</si>
  <si>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</si>
  <si>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</si>
  <si>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</si>
  <si>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</si>
  <si>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</si>
  <si>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More than 10 Miles</t>
  </si>
  <si>
    <t>Adolescent</t>
  </si>
  <si>
    <t>Middle Age</t>
  </si>
  <si>
    <t>Old</t>
  </si>
  <si>
    <t>Bike Sales Dashboard</t>
  </si>
  <si>
    <t>Count of Income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</si>
</sst>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1"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786A-4E8F-A048-54803EA84276}"/>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786A-4E8F-A048-54803EA84276}"/>
            </c:ext>
          </c:extLst>
        </c:ser>
        <c:dLbls>
          <c:showLegendKey val="0"/>
          <c:showVal val="0"/>
          <c:showCatName val="0"/>
          <c:showSerName val="0"/>
          <c:showPercent val="0"/>
          <c:showBubbleSize val="0"/>
        </c:dLbls>
        <c:gapWidth val="219"/>
        <c:overlap val="-27"/>
        <c:axId val="596323584"/>
        <c:axId val="596315904"/>
      </c:barChart>
      <c:catAx>
        <c:axId val="5963235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315904"/>
        <c:crosses val="autoZero"/>
        <c:auto val="1"/>
        <c:lblAlgn val="ctr"/>
        <c:lblOffset val="100"/>
        <c:noMultiLvlLbl val="0"/>
      </c:catAx>
      <c:valAx>
        <c:axId val="5963159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32358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Table'!$B$35:$B$36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Table'!$A$37:$A$40</c:f>
              <c:strCache>
                <c:ptCount val="3"/>
                <c:pt idx="0">
                  <c:v>Adolescent</c:v>
                </c:pt>
                <c:pt idx="1">
                  <c:v>Middle Age</c:v>
                </c:pt>
                <c:pt idx="2">
                  <c:v>Old</c:v>
                </c:pt>
              </c:strCache>
            </c:strRef>
          </c:cat>
          <c:val>
            <c:numRef>
              <c:f>'Pivot Table'!$B$37:$B$40</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53BF-4546-BAAE-F2EFE21D50BB}"/>
            </c:ext>
          </c:extLst>
        </c:ser>
        <c:ser>
          <c:idx val="1"/>
          <c:order val="1"/>
          <c:tx>
            <c:strRef>
              <c:f>'Pivot Table'!$C$35:$C$36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Table'!$A$37:$A$40</c:f>
              <c:strCache>
                <c:ptCount val="3"/>
                <c:pt idx="0">
                  <c:v>Adolescent</c:v>
                </c:pt>
                <c:pt idx="1">
                  <c:v>Middle Age</c:v>
                </c:pt>
                <c:pt idx="2">
                  <c:v>Old</c:v>
                </c:pt>
              </c:strCache>
            </c:strRef>
          </c:cat>
          <c:val>
            <c:numRef>
              <c:f>'Pivot Table'!$C$37:$C$40</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53BF-4546-BAAE-F2EFE21D50BB}"/>
            </c:ext>
          </c:extLst>
        </c:ser>
        <c:dLbls>
          <c:showLegendKey val="0"/>
          <c:showVal val="0"/>
          <c:showCatName val="0"/>
          <c:showSerName val="0"/>
          <c:showPercent val="0"/>
          <c:showBubbleSize val="0"/>
        </c:dLbls>
        <c:marker val="1"/>
        <c:smooth val="0"/>
        <c:axId val="596328864"/>
        <c:axId val="596318784"/>
      </c:lineChart>
      <c:catAx>
        <c:axId val="5963288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318784"/>
        <c:crosses val="autoZero"/>
        <c:auto val="1"/>
        <c:lblAlgn val="ctr"/>
        <c:lblOffset val="100"/>
        <c:noMultiLvlLbl val="0"/>
      </c:catAx>
      <c:valAx>
        <c:axId val="596318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328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0</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0891-4ADC-B7B5-D02FDA943711}"/>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0</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0891-4ADC-B7B5-D02FDA943711}"/>
            </c:ext>
          </c:extLst>
        </c:ser>
        <c:dLbls>
          <c:showLegendKey val="0"/>
          <c:showVal val="0"/>
          <c:showCatName val="0"/>
          <c:showSerName val="0"/>
          <c:showPercent val="0"/>
          <c:showBubbleSize val="0"/>
        </c:dLbls>
        <c:smooth val="0"/>
        <c:axId val="117062928"/>
        <c:axId val="117063408"/>
      </c:lineChart>
      <c:catAx>
        <c:axId val="1170629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Commute</a:t>
                </a:r>
                <a:r>
                  <a:rPr lang="en-US" b="1" baseline="0"/>
                  <a:t> Distance</a:t>
                </a:r>
                <a:endParaRPr lang="en-US"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063408"/>
        <c:crosses val="autoZero"/>
        <c:auto val="1"/>
        <c:lblAlgn val="ctr"/>
        <c:lblOffset val="100"/>
        <c:noMultiLvlLbl val="0"/>
      </c:catAx>
      <c:valAx>
        <c:axId val="1170634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062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CFFD-4553-ACA5-2925940B87C2}"/>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CFFD-4553-ACA5-2925940B87C2}"/>
            </c:ext>
          </c:extLst>
        </c:ser>
        <c:dLbls>
          <c:showLegendKey val="0"/>
          <c:showVal val="0"/>
          <c:showCatName val="0"/>
          <c:showSerName val="0"/>
          <c:showPercent val="0"/>
          <c:showBubbleSize val="0"/>
        </c:dLbls>
        <c:gapWidth val="219"/>
        <c:overlap val="-27"/>
        <c:axId val="596323584"/>
        <c:axId val="596315904"/>
      </c:barChart>
      <c:catAx>
        <c:axId val="5963235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315904"/>
        <c:crosses val="autoZero"/>
        <c:auto val="1"/>
        <c:lblAlgn val="ctr"/>
        <c:lblOffset val="100"/>
        <c:noMultiLvlLbl val="0"/>
      </c:catAx>
      <c:valAx>
        <c:axId val="5963159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32358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Table'!$B$35:$B$36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Table'!$A$37:$A$40</c:f>
              <c:strCache>
                <c:ptCount val="3"/>
                <c:pt idx="0">
                  <c:v>Adolescent</c:v>
                </c:pt>
                <c:pt idx="1">
                  <c:v>Middle Age</c:v>
                </c:pt>
                <c:pt idx="2">
                  <c:v>Old</c:v>
                </c:pt>
              </c:strCache>
            </c:strRef>
          </c:cat>
          <c:val>
            <c:numRef>
              <c:f>'Pivot Table'!$B$37:$B$40</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1273-403F-A1BE-341AB19AD12E}"/>
            </c:ext>
          </c:extLst>
        </c:ser>
        <c:ser>
          <c:idx val="1"/>
          <c:order val="1"/>
          <c:tx>
            <c:strRef>
              <c:f>'Pivot Table'!$C$35:$C$36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Table'!$A$37:$A$40</c:f>
              <c:strCache>
                <c:ptCount val="3"/>
                <c:pt idx="0">
                  <c:v>Adolescent</c:v>
                </c:pt>
                <c:pt idx="1">
                  <c:v>Middle Age</c:v>
                </c:pt>
                <c:pt idx="2">
                  <c:v>Old</c:v>
                </c:pt>
              </c:strCache>
            </c:strRef>
          </c:cat>
          <c:val>
            <c:numRef>
              <c:f>'Pivot Table'!$C$37:$C$40</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1273-403F-A1BE-341AB19AD12E}"/>
            </c:ext>
          </c:extLst>
        </c:ser>
        <c:dLbls>
          <c:showLegendKey val="0"/>
          <c:showVal val="0"/>
          <c:showCatName val="0"/>
          <c:showSerName val="0"/>
          <c:showPercent val="0"/>
          <c:showBubbleSize val="0"/>
        </c:dLbls>
        <c:marker val="1"/>
        <c:smooth val="0"/>
        <c:axId val="596328864"/>
        <c:axId val="596318784"/>
      </c:lineChart>
      <c:catAx>
        <c:axId val="5963288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318784"/>
        <c:crosses val="autoZero"/>
        <c:auto val="1"/>
        <c:lblAlgn val="ctr"/>
        <c:lblOffset val="100"/>
        <c:noMultiLvlLbl val="0"/>
      </c:catAx>
      <c:valAx>
        <c:axId val="596318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328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0</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A013-439F-B07B-5BA1320743FD}"/>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0</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A013-439F-B07B-5BA1320743FD}"/>
            </c:ext>
          </c:extLst>
        </c:ser>
        <c:dLbls>
          <c:showLegendKey val="0"/>
          <c:showVal val="0"/>
          <c:showCatName val="0"/>
          <c:showSerName val="0"/>
          <c:showPercent val="0"/>
          <c:showBubbleSize val="0"/>
        </c:dLbls>
        <c:smooth val="0"/>
        <c:axId val="117062928"/>
        <c:axId val="117063408"/>
      </c:lineChart>
      <c:catAx>
        <c:axId val="1170629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Commute</a:t>
                </a:r>
                <a:r>
                  <a:rPr lang="en-US" b="1" baseline="0"/>
                  <a:t> Distance</a:t>
                </a:r>
                <a:endParaRPr lang="en-US"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063408"/>
        <c:crosses val="autoZero"/>
        <c:auto val="1"/>
        <c:lblAlgn val="ctr"/>
        <c:lblOffset val="100"/>
        <c:noMultiLvlLbl val="0"/>
      </c:catAx>
      <c:valAx>
        <c:axId val="1170634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062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99060</xdr:colOff>
      <xdr:row>6</xdr:row>
      <xdr:rowOff>83820</xdr:rowOff>
    </xdr:from>
    <xdr:to>
      <xdr:col>9</xdr:col>
      <xdr:colOff>502920</xdr:colOff>
      <xdr:row>21</xdr:row>
      <xdr:rowOff>83820</xdr:rowOff>
    </xdr:to>
    <xdr:graphicFrame macro="">
      <xdr:nvGraphicFramePr>
        <xdr:cNvPr id="2" name="Chart 1">
          <a:extLst>
            <a:ext uri="{FF2B5EF4-FFF2-40B4-BE49-F238E27FC236}">
              <a16:creationId xmlns:a16="http://schemas.microsoft.com/office/drawing/2014/main" id="{0DE21703-396D-4AC0-B1DD-70DF314CDF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30480</xdr:colOff>
      <xdr:row>6</xdr:row>
      <xdr:rowOff>83820</xdr:rowOff>
    </xdr:from>
    <xdr:to>
      <xdr:col>16</xdr:col>
      <xdr:colOff>7620</xdr:colOff>
      <xdr:row>21</xdr:row>
      <xdr:rowOff>83820</xdr:rowOff>
    </xdr:to>
    <xdr:graphicFrame macro="">
      <xdr:nvGraphicFramePr>
        <xdr:cNvPr id="4" name="Chart 3">
          <a:extLst>
            <a:ext uri="{FF2B5EF4-FFF2-40B4-BE49-F238E27FC236}">
              <a16:creationId xmlns:a16="http://schemas.microsoft.com/office/drawing/2014/main" id="{FCD20762-6101-4D1A-9D69-A11F4D1599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114300</xdr:colOff>
      <xdr:row>21</xdr:row>
      <xdr:rowOff>152400</xdr:rowOff>
    </xdr:from>
    <xdr:to>
      <xdr:col>16</xdr:col>
      <xdr:colOff>7620</xdr:colOff>
      <xdr:row>36</xdr:row>
      <xdr:rowOff>152400</xdr:rowOff>
    </xdr:to>
    <xdr:graphicFrame macro="">
      <xdr:nvGraphicFramePr>
        <xdr:cNvPr id="6" name="Chart 5">
          <a:extLst>
            <a:ext uri="{FF2B5EF4-FFF2-40B4-BE49-F238E27FC236}">
              <a16:creationId xmlns:a16="http://schemas.microsoft.com/office/drawing/2014/main" id="{622C92DF-9E7A-4A19-BCE8-0159119B23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60960</xdr:colOff>
      <xdr:row>6</xdr:row>
      <xdr:rowOff>60961</xdr:rowOff>
    </xdr:from>
    <xdr:to>
      <xdr:col>3</xdr:col>
      <xdr:colOff>53340</xdr:colOff>
      <xdr:row>11</xdr:row>
      <xdr:rowOff>38101</xdr:rowOff>
    </xdr:to>
    <mc:AlternateContent xmlns:mc="http://schemas.openxmlformats.org/markup-compatibility/2006" xmlns:a14="http://schemas.microsoft.com/office/drawing/2010/main">
      <mc:Choice Requires="a14">
        <xdr:graphicFrame macro="">
          <xdr:nvGraphicFramePr>
            <xdr:cNvPr id="7" name="Marital Status">
              <a:extLst>
                <a:ext uri="{FF2B5EF4-FFF2-40B4-BE49-F238E27FC236}">
                  <a16:creationId xmlns:a16="http://schemas.microsoft.com/office/drawing/2014/main" id="{2A93F538-68B4-7622-B885-35A6BF513204}"/>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60960" y="1171304"/>
              <a:ext cx="1821180" cy="9024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60960</xdr:colOff>
      <xdr:row>18</xdr:row>
      <xdr:rowOff>76201</xdr:rowOff>
    </xdr:from>
    <xdr:to>
      <xdr:col>3</xdr:col>
      <xdr:colOff>60960</xdr:colOff>
      <xdr:row>28</xdr:row>
      <xdr:rowOff>10886</xdr:rowOff>
    </xdr:to>
    <mc:AlternateContent xmlns:mc="http://schemas.openxmlformats.org/markup-compatibility/2006" xmlns:a14="http://schemas.microsoft.com/office/drawing/2010/main">
      <mc:Choice Requires="a14">
        <xdr:graphicFrame macro="">
          <xdr:nvGraphicFramePr>
            <xdr:cNvPr id="8" name="Education">
              <a:extLst>
                <a:ext uri="{FF2B5EF4-FFF2-40B4-BE49-F238E27FC236}">
                  <a16:creationId xmlns:a16="http://schemas.microsoft.com/office/drawing/2014/main" id="{85BF5136-14A7-7DC9-4062-249AE12582C2}"/>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60960" y="3407230"/>
              <a:ext cx="1828800" cy="17036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53340</xdr:colOff>
      <xdr:row>11</xdr:row>
      <xdr:rowOff>114301</xdr:rowOff>
    </xdr:from>
    <xdr:to>
      <xdr:col>3</xdr:col>
      <xdr:colOff>53340</xdr:colOff>
      <xdr:row>18</xdr:row>
      <xdr:rowOff>15241</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C89063E3-202C-3DEB-131C-7F848DB6728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3340" y="2149930"/>
              <a:ext cx="1828800" cy="11963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327660</xdr:colOff>
      <xdr:row>0</xdr:row>
      <xdr:rowOff>83820</xdr:rowOff>
    </xdr:from>
    <xdr:to>
      <xdr:col>12</xdr:col>
      <xdr:colOff>22860</xdr:colOff>
      <xdr:row>15</xdr:row>
      <xdr:rowOff>83820</xdr:rowOff>
    </xdr:to>
    <xdr:graphicFrame macro="">
      <xdr:nvGraphicFramePr>
        <xdr:cNvPr id="2" name="Chart 1">
          <a:extLst>
            <a:ext uri="{FF2B5EF4-FFF2-40B4-BE49-F238E27FC236}">
              <a16:creationId xmlns:a16="http://schemas.microsoft.com/office/drawing/2014/main" id="{03ED5362-47CB-01F6-A542-90DE22AD71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472440</xdr:colOff>
      <xdr:row>31</xdr:row>
      <xdr:rowOff>114300</xdr:rowOff>
    </xdr:from>
    <xdr:to>
      <xdr:col>12</xdr:col>
      <xdr:colOff>167640</xdr:colOff>
      <xdr:row>46</xdr:row>
      <xdr:rowOff>114300</xdr:rowOff>
    </xdr:to>
    <xdr:graphicFrame macro="">
      <xdr:nvGraphicFramePr>
        <xdr:cNvPr id="4" name="Chart 3">
          <a:extLst>
            <a:ext uri="{FF2B5EF4-FFF2-40B4-BE49-F238E27FC236}">
              <a16:creationId xmlns:a16="http://schemas.microsoft.com/office/drawing/2014/main" id="{ADEB7BC4-7D9A-3C05-97FF-4E52E7A8A6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403860</xdr:colOff>
      <xdr:row>17</xdr:row>
      <xdr:rowOff>91440</xdr:rowOff>
    </xdr:from>
    <xdr:to>
      <xdr:col>12</xdr:col>
      <xdr:colOff>99060</xdr:colOff>
      <xdr:row>32</xdr:row>
      <xdr:rowOff>91440</xdr:rowOff>
    </xdr:to>
    <xdr:graphicFrame macro="">
      <xdr:nvGraphicFramePr>
        <xdr:cNvPr id="5" name="Chart 4">
          <a:extLst>
            <a:ext uri="{FF2B5EF4-FFF2-40B4-BE49-F238E27FC236}">
              <a16:creationId xmlns:a16="http://schemas.microsoft.com/office/drawing/2014/main" id="{7B747B22-0270-362B-C3EB-8559A83FE2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iovany Cesar" refreshedDate="45567.770387847224" createdVersion="8" refreshedVersion="8" minRefreshableVersion="3" recordCount="1000" xr:uid="{B256EFA6-2171-4EB5-8860-17AE9E2E718F}">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More than 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20512084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F411BC-90D7-4E4B-B9B9-571422BC17A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0:D27" firstHeaderRow="1" firstDataRow="2" firstDataCol="1"/>
  <pivotFields count="14">
    <pivotField showAll="0"/>
    <pivotField showAll="0">
      <items count="3">
        <item x="0"/>
        <item x="1"/>
        <item t="default"/>
      </items>
    </pivotField>
    <pivotField showAll="0">
      <items count="3">
        <item x="0"/>
        <item x="1"/>
        <item t="default"/>
      </items>
    </pivotField>
    <pivotField dataField="1" numFmtId="1" showAll="0"/>
    <pivotField showAll="0"/>
    <pivotField showAll="0">
      <items count="6">
        <item x="0"/>
        <item x="4"/>
        <item x="2"/>
        <item x="1"/>
        <item x="3"/>
        <item t="default"/>
      </items>
    </pivotField>
    <pivotField showAll="0"/>
    <pivotField showAll="0"/>
    <pivotField showAll="0"/>
    <pivotField axis="axisRow" showAll="0">
      <items count="6">
        <item x="0"/>
        <item x="3"/>
        <item x="1"/>
        <item x="2"/>
        <item x="4"/>
        <item t="default"/>
      </items>
    </pivotField>
    <pivotField showAll="0">
      <items count="4">
        <item x="0"/>
        <item x="2"/>
        <item x="1"/>
        <item t="default"/>
      </items>
    </pivotField>
    <pivotField showAll="0"/>
    <pivotField showAll="0"/>
    <pivotField axis="axisCol"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Income" fld="3" subtotal="count" baseField="9" baseItem="2" numFmtId="1"/>
  </dataFields>
  <formats count="1">
    <format dxfId="6">
      <pivotArea outline="0" collapsedLevelsAreSubtotals="1" fieldPosition="0"/>
    </format>
  </formats>
  <chartFormats count="1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 chart="7" format="0" series="1">
      <pivotArea type="data" outline="0" fieldPosition="0">
        <references count="2">
          <reference field="4294967294" count="1" selected="0">
            <x v="0"/>
          </reference>
          <reference field="13" count="1" selected="0">
            <x v="0"/>
          </reference>
        </references>
      </pivotArea>
    </chartFormat>
    <chartFormat chart="7" format="1" series="1">
      <pivotArea type="data" outline="0" fieldPosition="0">
        <references count="2">
          <reference field="4294967294" count="1" selected="0">
            <x v="0"/>
          </reference>
          <reference field="13" count="1" selected="0">
            <x v="1"/>
          </reference>
        </references>
      </pivotArea>
    </chartFormat>
    <chartFormat chart="8" format="2" series="1">
      <pivotArea type="data" outline="0" fieldPosition="0">
        <references count="2">
          <reference field="4294967294" count="1" selected="0">
            <x v="0"/>
          </reference>
          <reference field="13" count="1" selected="0">
            <x v="0"/>
          </reference>
        </references>
      </pivotArea>
    </chartFormat>
    <chartFormat chart="8" format="3" series="1">
      <pivotArea type="data" outline="0" fieldPosition="0">
        <references count="2">
          <reference field="4294967294" count="1" selected="0">
            <x v="0"/>
          </reference>
          <reference field="13" count="1" selected="0">
            <x v="1"/>
          </reference>
        </references>
      </pivotArea>
    </chartFormat>
    <chartFormat chart="9" format="4" series="1">
      <pivotArea type="data" outline="0" fieldPosition="0">
        <references count="2">
          <reference field="4294967294" count="1" selected="0">
            <x v="0"/>
          </reference>
          <reference field="13" count="1" selected="0">
            <x v="0"/>
          </reference>
        </references>
      </pivotArea>
    </chartFormat>
    <chartFormat chart="9" format="5" series="1">
      <pivotArea type="data" outline="0" fieldPosition="0">
        <references count="2">
          <reference field="4294967294" count="1" selected="0">
            <x v="0"/>
          </reference>
          <reference field="13" count="1" selected="0">
            <x v="1"/>
          </reference>
        </references>
      </pivotArea>
    </chartFormat>
    <chartFormat chart="10" format="4" series="1">
      <pivotArea type="data" outline="0" fieldPosition="0">
        <references count="2">
          <reference field="4294967294" count="1" selected="0">
            <x v="0"/>
          </reference>
          <reference field="13" count="1" selected="0">
            <x v="0"/>
          </reference>
        </references>
      </pivotArea>
    </chartFormat>
    <chartFormat chart="10"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9DA6BC0-F6FB-4820-99D2-3075D544592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5:D40" firstHeaderRow="1" firstDataRow="2" firstDataCol="1"/>
  <pivotFields count="14">
    <pivotField showAll="0"/>
    <pivotField showAll="0">
      <items count="3">
        <item x="0"/>
        <item x="1"/>
        <item t="default"/>
      </items>
    </pivotField>
    <pivotField showAll="0"/>
    <pivotField numFmtId="1"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32BC8F2-BAD4-4AD7-99B8-BC77A0A3375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2">
    <format dxfId="8">
      <pivotArea collapsedLevelsAreSubtotals="1" fieldPosition="0">
        <references count="2">
          <reference field="2" count="0"/>
          <reference field="13" count="0" selected="0"/>
        </references>
      </pivotArea>
    </format>
    <format dxfId="7">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19D83A5-F75E-4C66-B2D4-14950A1EC04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3:D108" firstHeaderRow="1" firstDataRow="2" firstDataCol="1"/>
  <pivotFields count="14">
    <pivotField showAll="0"/>
    <pivotField showAll="0">
      <items count="3">
        <item x="0"/>
        <item x="1"/>
        <item t="default"/>
      </items>
    </pivotField>
    <pivotField showAll="0"/>
    <pivotField numFmtId="1"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4F6ACD78-423E-4063-8BC9-69730D65E4C1}" sourceName="Marital Status">
  <pivotTables>
    <pivotTable tabId="3" name="PivotTable1"/>
    <pivotTable tabId="3" name="PivotTable2"/>
    <pivotTable tabId="3" name="PivotTable3"/>
    <pivotTable tabId="3" name="PivotTable4"/>
  </pivotTables>
  <data>
    <tabular pivotCacheId="205120846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DBDEEC94-7984-4275-84AA-451A4B439BFC}" sourceName="Education">
  <pivotTables>
    <pivotTable tabId="3" name="PivotTable1"/>
    <pivotTable tabId="3" name="PivotTable2"/>
    <pivotTable tabId="3" name="PivotTable3"/>
    <pivotTable tabId="3" name="PivotTable4"/>
  </pivotTables>
  <data>
    <tabular pivotCacheId="2051208466">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D7805A5-0907-4C39-90BF-617F8FA571DC}" sourceName="Region">
  <pivotTables>
    <pivotTable tabId="3" name="PivotTable1"/>
    <pivotTable tabId="3" name="PivotTable2"/>
    <pivotTable tabId="3" name="PivotTable3"/>
    <pivotTable tabId="3" name="PivotTable4"/>
  </pivotTables>
  <data>
    <tabular pivotCacheId="2051208466">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B011EBAF-8324-46EA-86BB-26EBADB217D6}" cache="Slicer_Marital_Status" caption="Marital Status" rowHeight="234950"/>
  <slicer name="Education" xr10:uid="{937E22DE-1B4E-4477-B36B-E6F6D0893692}" cache="Slicer_Education" caption="Education" rowHeight="234950"/>
  <slicer name="Region" xr10:uid="{E892D1CD-FA1D-4164-A5E8-3644A0272257}"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AE09F-3E70-457D-B4BA-20A940BCC052}">
  <dimension ref="A1:N1001"/>
  <sheetViews>
    <sheetView topLeftCell="D1" workbookViewId="0">
      <selection activeCell="M3" sqref="M3"/>
    </sheetView>
  </sheetViews>
  <sheetFormatPr defaultColWidth="11.88671875" defaultRowHeight="14.4" x14ac:dyDescent="0.3"/>
  <cols>
    <col min="2" max="2" width="32.33203125" customWidth="1"/>
    <col min="3" max="3" width="14.109375" customWidth="1"/>
    <col min="4" max="4" width="12.6640625" style="3" customWidth="1"/>
    <col min="6" max="6" width="16.21875" bestFit="1" customWidth="1"/>
    <col min="7" max="7" width="12.6640625" bestFit="1" customWidth="1"/>
    <col min="8" max="8" width="14" bestFit="1" customWidth="1"/>
    <col min="9" max="9" width="11.6640625" customWidth="1"/>
    <col min="10" max="10" width="18.77734375" bestFit="1" customWidth="1"/>
    <col min="11" max="11" width="12.88671875" bestFit="1" customWidth="1"/>
    <col min="12" max="12" width="9.88671875" customWidth="1"/>
    <col min="13" max="13" width="14.33203125" customWidth="1"/>
    <col min="14" max="14" width="15.5546875" bestFit="1"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39</v>
      </c>
      <c r="D2" s="3">
        <v>40000</v>
      </c>
      <c r="E2">
        <v>1</v>
      </c>
      <c r="F2" t="s">
        <v>13</v>
      </c>
      <c r="G2" t="s">
        <v>14</v>
      </c>
      <c r="H2" t="s">
        <v>15</v>
      </c>
      <c r="I2">
        <v>0</v>
      </c>
      <c r="J2" t="s">
        <v>16</v>
      </c>
      <c r="K2" t="s">
        <v>17</v>
      </c>
      <c r="L2">
        <v>42</v>
      </c>
      <c r="M2" t="str">
        <f>IF(L2&gt;54,"Old",IF(L2&gt;=31,"Middle Age",IF(L2&lt;31,"Adolescent","Invalid")))</f>
        <v>Middle Age</v>
      </c>
      <c r="N2" t="s">
        <v>18</v>
      </c>
    </row>
    <row r="3" spans="1:14" x14ac:dyDescent="0.3">
      <c r="A3">
        <v>24107</v>
      </c>
      <c r="B3" t="s">
        <v>36</v>
      </c>
      <c r="C3" t="s">
        <v>38</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
      <c r="A4">
        <v>14177</v>
      </c>
      <c r="B4" t="s">
        <v>36</v>
      </c>
      <c r="C4" t="s">
        <v>38</v>
      </c>
      <c r="D4" s="3">
        <v>80000</v>
      </c>
      <c r="E4">
        <v>5</v>
      </c>
      <c r="F4" t="s">
        <v>19</v>
      </c>
      <c r="G4" t="s">
        <v>21</v>
      </c>
      <c r="H4" t="s">
        <v>18</v>
      </c>
      <c r="I4">
        <v>2</v>
      </c>
      <c r="J4" t="s">
        <v>22</v>
      </c>
      <c r="K4" t="s">
        <v>17</v>
      </c>
      <c r="L4">
        <v>60</v>
      </c>
      <c r="M4" t="str">
        <f t="shared" si="0"/>
        <v>Old</v>
      </c>
      <c r="N4" t="s">
        <v>18</v>
      </c>
    </row>
    <row r="5" spans="1:14" x14ac:dyDescent="0.3">
      <c r="A5">
        <v>24381</v>
      </c>
      <c r="B5" t="s">
        <v>37</v>
      </c>
      <c r="C5" t="s">
        <v>38</v>
      </c>
      <c r="D5" s="3">
        <v>70000</v>
      </c>
      <c r="E5">
        <v>0</v>
      </c>
      <c r="F5" t="s">
        <v>13</v>
      </c>
      <c r="G5" t="s">
        <v>21</v>
      </c>
      <c r="H5" t="s">
        <v>15</v>
      </c>
      <c r="I5">
        <v>1</v>
      </c>
      <c r="J5" t="s">
        <v>23</v>
      </c>
      <c r="K5" t="s">
        <v>24</v>
      </c>
      <c r="L5">
        <v>41</v>
      </c>
      <c r="M5" t="str">
        <f t="shared" si="0"/>
        <v>Middle Age</v>
      </c>
      <c r="N5" t="s">
        <v>15</v>
      </c>
    </row>
    <row r="6" spans="1:14" x14ac:dyDescent="0.3">
      <c r="A6">
        <v>25597</v>
      </c>
      <c r="B6" t="s">
        <v>37</v>
      </c>
      <c r="C6" t="s">
        <v>38</v>
      </c>
      <c r="D6" s="3">
        <v>30000</v>
      </c>
      <c r="E6">
        <v>0</v>
      </c>
      <c r="F6" t="s">
        <v>13</v>
      </c>
      <c r="G6" t="s">
        <v>20</v>
      </c>
      <c r="H6" t="s">
        <v>18</v>
      </c>
      <c r="I6">
        <v>0</v>
      </c>
      <c r="J6" t="s">
        <v>16</v>
      </c>
      <c r="K6" t="s">
        <v>17</v>
      </c>
      <c r="L6">
        <v>36</v>
      </c>
      <c r="M6" t="str">
        <f t="shared" si="0"/>
        <v>Middle Age</v>
      </c>
      <c r="N6" t="s">
        <v>15</v>
      </c>
    </row>
    <row r="7" spans="1:14" x14ac:dyDescent="0.3">
      <c r="A7">
        <v>13507</v>
      </c>
      <c r="B7" t="s">
        <v>36</v>
      </c>
      <c r="C7" t="s">
        <v>39</v>
      </c>
      <c r="D7" s="3">
        <v>10000</v>
      </c>
      <c r="E7">
        <v>2</v>
      </c>
      <c r="F7" t="s">
        <v>19</v>
      </c>
      <c r="G7" t="s">
        <v>25</v>
      </c>
      <c r="H7" t="s">
        <v>15</v>
      </c>
      <c r="I7">
        <v>0</v>
      </c>
      <c r="J7" t="s">
        <v>26</v>
      </c>
      <c r="K7" t="s">
        <v>17</v>
      </c>
      <c r="L7">
        <v>50</v>
      </c>
      <c r="M7" t="str">
        <f t="shared" si="0"/>
        <v>Middle Age</v>
      </c>
      <c r="N7" t="s">
        <v>18</v>
      </c>
    </row>
    <row r="8" spans="1:14" x14ac:dyDescent="0.3">
      <c r="A8">
        <v>27974</v>
      </c>
      <c r="B8" t="s">
        <v>37</v>
      </c>
      <c r="C8" t="s">
        <v>38</v>
      </c>
      <c r="D8" s="3">
        <v>160000</v>
      </c>
      <c r="E8">
        <v>2</v>
      </c>
      <c r="F8" t="s">
        <v>27</v>
      </c>
      <c r="G8" t="s">
        <v>28</v>
      </c>
      <c r="H8" t="s">
        <v>15</v>
      </c>
      <c r="I8">
        <v>4</v>
      </c>
      <c r="J8" t="s">
        <v>16</v>
      </c>
      <c r="K8" t="s">
        <v>24</v>
      </c>
      <c r="L8">
        <v>33</v>
      </c>
      <c r="M8" t="str">
        <f t="shared" si="0"/>
        <v>Middle Age</v>
      </c>
      <c r="N8" t="s">
        <v>15</v>
      </c>
    </row>
    <row r="9" spans="1:14" x14ac:dyDescent="0.3">
      <c r="A9">
        <v>19364</v>
      </c>
      <c r="B9" t="s">
        <v>36</v>
      </c>
      <c r="C9" t="s">
        <v>38</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3">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3">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3">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3">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3">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38</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3">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3">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3">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38</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39</v>
      </c>
      <c r="D195" s="3">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38</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39</v>
      </c>
      <c r="D515" s="3">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3">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3">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39</v>
      </c>
      <c r="D707" s="3">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sheetData>
  <autoFilter ref="A1:N1001" xr:uid="{6A6AE09F-3E70-457D-B4BA-20A940BCC05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42DBE-6A72-488C-ACA5-52F68E3BD56A}">
  <dimension ref="A1:P6"/>
  <sheetViews>
    <sheetView showGridLines="0" tabSelected="1" zoomScale="70" zoomScaleNormal="70" workbookViewId="0">
      <selection activeCell="C31" sqref="C31"/>
    </sheetView>
  </sheetViews>
  <sheetFormatPr defaultRowHeight="14.4" x14ac:dyDescent="0.3"/>
  <sheetData>
    <row r="1" spans="1:16" ht="14.4" customHeight="1" x14ac:dyDescent="0.3">
      <c r="A1" s="7" t="s">
        <v>50</v>
      </c>
      <c r="B1" s="7"/>
      <c r="C1" s="7"/>
      <c r="D1" s="7"/>
      <c r="E1" s="7"/>
      <c r="F1" s="7"/>
      <c r="G1" s="7"/>
      <c r="H1" s="7"/>
      <c r="I1" s="7"/>
      <c r="J1" s="7"/>
      <c r="K1" s="7"/>
      <c r="L1" s="7"/>
      <c r="M1" s="7"/>
      <c r="N1" s="7"/>
      <c r="O1" s="7"/>
      <c r="P1" s="7"/>
    </row>
    <row r="2" spans="1:16" x14ac:dyDescent="0.3">
      <c r="A2" s="7"/>
      <c r="B2" s="7"/>
      <c r="C2" s="7"/>
      <c r="D2" s="7"/>
      <c r="E2" s="7"/>
      <c r="F2" s="7"/>
      <c r="G2" s="7"/>
      <c r="H2" s="7"/>
      <c r="I2" s="7"/>
      <c r="J2" s="7"/>
      <c r="K2" s="7"/>
      <c r="L2" s="7"/>
      <c r="M2" s="7"/>
      <c r="N2" s="7"/>
      <c r="O2" s="7"/>
      <c r="P2" s="7"/>
    </row>
    <row r="3" spans="1:16" x14ac:dyDescent="0.3">
      <c r="A3" s="7"/>
      <c r="B3" s="7"/>
      <c r="C3" s="7"/>
      <c r="D3" s="7"/>
      <c r="E3" s="7"/>
      <c r="F3" s="7"/>
      <c r="G3" s="7"/>
      <c r="H3" s="7"/>
      <c r="I3" s="7"/>
      <c r="J3" s="7"/>
      <c r="K3" s="7"/>
      <c r="L3" s="7"/>
      <c r="M3" s="7"/>
      <c r="N3" s="7"/>
      <c r="O3" s="7"/>
      <c r="P3" s="7"/>
    </row>
    <row r="4" spans="1:16" x14ac:dyDescent="0.3">
      <c r="A4" s="7"/>
      <c r="B4" s="7"/>
      <c r="C4" s="7"/>
      <c r="D4" s="7"/>
      <c r="E4" s="7"/>
      <c r="F4" s="7"/>
      <c r="G4" s="7"/>
      <c r="H4" s="7"/>
      <c r="I4" s="7"/>
      <c r="J4" s="7"/>
      <c r="K4" s="7"/>
      <c r="L4" s="7"/>
      <c r="M4" s="7"/>
      <c r="N4" s="7"/>
      <c r="O4" s="7"/>
      <c r="P4" s="7"/>
    </row>
    <row r="5" spans="1:16" x14ac:dyDescent="0.3">
      <c r="A5" s="7"/>
      <c r="B5" s="7"/>
      <c r="C5" s="7"/>
      <c r="D5" s="7"/>
      <c r="E5" s="7"/>
      <c r="F5" s="7"/>
      <c r="G5" s="7"/>
      <c r="H5" s="7"/>
      <c r="I5" s="7"/>
      <c r="J5" s="7"/>
      <c r="K5" s="7"/>
      <c r="L5" s="7"/>
      <c r="M5" s="7"/>
      <c r="N5" s="7"/>
      <c r="O5" s="7"/>
      <c r="P5" s="7"/>
    </row>
    <row r="6" spans="1:16" x14ac:dyDescent="0.3">
      <c r="A6" s="7"/>
      <c r="B6" s="7"/>
      <c r="C6" s="7"/>
      <c r="D6" s="7"/>
      <c r="E6" s="7"/>
      <c r="F6" s="7"/>
      <c r="G6" s="7"/>
      <c r="H6" s="7"/>
      <c r="I6" s="7"/>
      <c r="J6" s="7"/>
      <c r="K6" s="7"/>
      <c r="L6" s="7"/>
      <c r="M6" s="7"/>
      <c r="N6" s="7"/>
      <c r="O6" s="7"/>
      <c r="P6" s="7"/>
    </row>
  </sheetData>
  <mergeCells count="1">
    <mergeCell ref="A1:P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75755-ADE1-4C34-BFB1-62B40D22469F}">
  <dimension ref="A1:D108"/>
  <sheetViews>
    <sheetView topLeftCell="A7" workbookViewId="0">
      <selection activeCell="Q22" sqref="Q22"/>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1" spans="1:4" x14ac:dyDescent="0.3">
      <c r="A1" s="5" t="s">
        <v>43</v>
      </c>
      <c r="B1" s="5" t="s">
        <v>44</v>
      </c>
    </row>
    <row r="2" spans="1:4" x14ac:dyDescent="0.3">
      <c r="A2" s="5" t="s">
        <v>41</v>
      </c>
      <c r="B2" t="s">
        <v>18</v>
      </c>
      <c r="C2" t="s">
        <v>15</v>
      </c>
      <c r="D2" t="s">
        <v>42</v>
      </c>
    </row>
    <row r="3" spans="1:4" x14ac:dyDescent="0.3">
      <c r="A3" s="6" t="s">
        <v>39</v>
      </c>
      <c r="B3" s="3">
        <v>53440</v>
      </c>
      <c r="C3" s="3">
        <v>55774.058577405856</v>
      </c>
      <c r="D3" s="3">
        <v>54580.777096114522</v>
      </c>
    </row>
    <row r="4" spans="1:4" x14ac:dyDescent="0.3">
      <c r="A4" s="6" t="s">
        <v>38</v>
      </c>
      <c r="B4" s="3">
        <v>56208.178438661707</v>
      </c>
      <c r="C4" s="3">
        <v>60123.966942148763</v>
      </c>
      <c r="D4" s="3">
        <v>58062.62230919765</v>
      </c>
    </row>
    <row r="5" spans="1:4" x14ac:dyDescent="0.3">
      <c r="A5" s="6" t="s">
        <v>42</v>
      </c>
      <c r="B5" s="3">
        <v>54874.759152215796</v>
      </c>
      <c r="C5" s="3">
        <v>57962.577962577961</v>
      </c>
      <c r="D5" s="3">
        <v>56360</v>
      </c>
    </row>
    <row r="20" spans="1:4" x14ac:dyDescent="0.3">
      <c r="A20" s="5" t="s">
        <v>51</v>
      </c>
      <c r="B20" s="5" t="s">
        <v>44</v>
      </c>
    </row>
    <row r="21" spans="1:4" x14ac:dyDescent="0.3">
      <c r="A21" s="5" t="s">
        <v>41</v>
      </c>
      <c r="B21" t="s">
        <v>18</v>
      </c>
      <c r="C21" t="s">
        <v>15</v>
      </c>
      <c r="D21" t="s">
        <v>42</v>
      </c>
    </row>
    <row r="22" spans="1:4" x14ac:dyDescent="0.3">
      <c r="A22" s="6" t="s">
        <v>16</v>
      </c>
      <c r="B22" s="3">
        <v>166</v>
      </c>
      <c r="C22" s="3">
        <v>200</v>
      </c>
      <c r="D22" s="3">
        <v>366</v>
      </c>
    </row>
    <row r="23" spans="1:4" x14ac:dyDescent="0.3">
      <c r="A23" s="6" t="s">
        <v>26</v>
      </c>
      <c r="B23" s="3">
        <v>92</v>
      </c>
      <c r="C23" s="3">
        <v>77</v>
      </c>
      <c r="D23" s="3">
        <v>169</v>
      </c>
    </row>
    <row r="24" spans="1:4" x14ac:dyDescent="0.3">
      <c r="A24" s="6" t="s">
        <v>22</v>
      </c>
      <c r="B24" s="3">
        <v>67</v>
      </c>
      <c r="C24" s="3">
        <v>95</v>
      </c>
      <c r="D24" s="3">
        <v>162</v>
      </c>
    </row>
    <row r="25" spans="1:4" x14ac:dyDescent="0.3">
      <c r="A25" s="6" t="s">
        <v>23</v>
      </c>
      <c r="B25" s="3">
        <v>116</v>
      </c>
      <c r="C25" s="3">
        <v>76</v>
      </c>
      <c r="D25" s="3">
        <v>192</v>
      </c>
    </row>
    <row r="26" spans="1:4" x14ac:dyDescent="0.3">
      <c r="A26" s="6" t="s">
        <v>46</v>
      </c>
      <c r="B26" s="3">
        <v>78</v>
      </c>
      <c r="C26" s="3">
        <v>33</v>
      </c>
      <c r="D26" s="3">
        <v>111</v>
      </c>
    </row>
    <row r="27" spans="1:4" x14ac:dyDescent="0.3">
      <c r="A27" s="6" t="s">
        <v>42</v>
      </c>
      <c r="B27" s="3">
        <v>519</v>
      </c>
      <c r="C27" s="3">
        <v>481</v>
      </c>
      <c r="D27" s="3">
        <v>1000</v>
      </c>
    </row>
    <row r="35" spans="1:4" x14ac:dyDescent="0.3">
      <c r="A35" s="5" t="s">
        <v>45</v>
      </c>
      <c r="B35" s="5" t="s">
        <v>44</v>
      </c>
    </row>
    <row r="36" spans="1:4" x14ac:dyDescent="0.3">
      <c r="A36" s="5" t="s">
        <v>41</v>
      </c>
      <c r="B36" t="s">
        <v>18</v>
      </c>
      <c r="C36" t="s">
        <v>15</v>
      </c>
      <c r="D36" t="s">
        <v>42</v>
      </c>
    </row>
    <row r="37" spans="1:4" x14ac:dyDescent="0.3">
      <c r="A37" s="6" t="s">
        <v>47</v>
      </c>
      <c r="B37" s="4">
        <v>71</v>
      </c>
      <c r="C37" s="4">
        <v>39</v>
      </c>
      <c r="D37" s="4">
        <v>110</v>
      </c>
    </row>
    <row r="38" spans="1:4" x14ac:dyDescent="0.3">
      <c r="A38" s="6" t="s">
        <v>48</v>
      </c>
      <c r="B38" s="4">
        <v>318</v>
      </c>
      <c r="C38" s="4">
        <v>383</v>
      </c>
      <c r="D38" s="4">
        <v>701</v>
      </c>
    </row>
    <row r="39" spans="1:4" x14ac:dyDescent="0.3">
      <c r="A39" s="6" t="s">
        <v>49</v>
      </c>
      <c r="B39" s="4">
        <v>130</v>
      </c>
      <c r="C39" s="4">
        <v>59</v>
      </c>
      <c r="D39" s="4">
        <v>189</v>
      </c>
    </row>
    <row r="40" spans="1:4" x14ac:dyDescent="0.3">
      <c r="A40" s="6" t="s">
        <v>42</v>
      </c>
      <c r="B40" s="4">
        <v>519</v>
      </c>
      <c r="C40" s="4">
        <v>481</v>
      </c>
      <c r="D40" s="4">
        <v>1000</v>
      </c>
    </row>
    <row r="53" spans="1:4" x14ac:dyDescent="0.3">
      <c r="A53" s="5" t="s">
        <v>45</v>
      </c>
      <c r="B53" s="5" t="s">
        <v>44</v>
      </c>
    </row>
    <row r="54" spans="1:4" x14ac:dyDescent="0.3">
      <c r="A54" s="5" t="s">
        <v>41</v>
      </c>
      <c r="B54" t="s">
        <v>18</v>
      </c>
      <c r="C54" t="s">
        <v>15</v>
      </c>
      <c r="D54" t="s">
        <v>42</v>
      </c>
    </row>
    <row r="55" spans="1:4" x14ac:dyDescent="0.3">
      <c r="A55" s="6">
        <v>25</v>
      </c>
      <c r="B55" s="4">
        <v>2</v>
      </c>
      <c r="C55" s="4">
        <v>4</v>
      </c>
      <c r="D55" s="4">
        <v>6</v>
      </c>
    </row>
    <row r="56" spans="1:4" x14ac:dyDescent="0.3">
      <c r="A56" s="6">
        <v>26</v>
      </c>
      <c r="B56" s="4">
        <v>8</v>
      </c>
      <c r="C56" s="4">
        <v>8</v>
      </c>
      <c r="D56" s="4">
        <v>16</v>
      </c>
    </row>
    <row r="57" spans="1:4" x14ac:dyDescent="0.3">
      <c r="A57" s="6">
        <v>27</v>
      </c>
      <c r="B57" s="4">
        <v>15</v>
      </c>
      <c r="C57" s="4">
        <v>8</v>
      </c>
      <c r="D57" s="4">
        <v>23</v>
      </c>
    </row>
    <row r="58" spans="1:4" x14ac:dyDescent="0.3">
      <c r="A58" s="6">
        <v>28</v>
      </c>
      <c r="B58" s="4">
        <v>12</v>
      </c>
      <c r="C58" s="4">
        <v>10</v>
      </c>
      <c r="D58" s="4">
        <v>22</v>
      </c>
    </row>
    <row r="59" spans="1:4" x14ac:dyDescent="0.3">
      <c r="A59" s="6">
        <v>29</v>
      </c>
      <c r="B59" s="4">
        <v>11</v>
      </c>
      <c r="C59" s="4">
        <v>5</v>
      </c>
      <c r="D59" s="4">
        <v>16</v>
      </c>
    </row>
    <row r="60" spans="1:4" x14ac:dyDescent="0.3">
      <c r="A60" s="6">
        <v>30</v>
      </c>
      <c r="B60" s="4">
        <v>23</v>
      </c>
      <c r="C60" s="4">
        <v>4</v>
      </c>
      <c r="D60" s="4">
        <v>27</v>
      </c>
    </row>
    <row r="61" spans="1:4" x14ac:dyDescent="0.3">
      <c r="A61" s="6">
        <v>31</v>
      </c>
      <c r="B61" s="4">
        <v>17</v>
      </c>
      <c r="C61" s="4">
        <v>8</v>
      </c>
      <c r="D61" s="4">
        <v>25</v>
      </c>
    </row>
    <row r="62" spans="1:4" x14ac:dyDescent="0.3">
      <c r="A62" s="6">
        <v>32</v>
      </c>
      <c r="B62" s="4">
        <v>19</v>
      </c>
      <c r="C62" s="4">
        <v>14</v>
      </c>
      <c r="D62" s="4">
        <v>33</v>
      </c>
    </row>
    <row r="63" spans="1:4" x14ac:dyDescent="0.3">
      <c r="A63" s="6">
        <v>33</v>
      </c>
      <c r="B63" s="4">
        <v>8</v>
      </c>
      <c r="C63" s="4">
        <v>13</v>
      </c>
      <c r="D63" s="4">
        <v>21</v>
      </c>
    </row>
    <row r="64" spans="1:4" x14ac:dyDescent="0.3">
      <c r="A64" s="6">
        <v>34</v>
      </c>
      <c r="B64" s="4">
        <v>12</v>
      </c>
      <c r="C64" s="4">
        <v>19</v>
      </c>
      <c r="D64" s="4">
        <v>31</v>
      </c>
    </row>
    <row r="65" spans="1:4" x14ac:dyDescent="0.3">
      <c r="A65" s="6">
        <v>35</v>
      </c>
      <c r="B65" s="4">
        <v>14</v>
      </c>
      <c r="C65" s="4">
        <v>22</v>
      </c>
      <c r="D65" s="4">
        <v>36</v>
      </c>
    </row>
    <row r="66" spans="1:4" x14ac:dyDescent="0.3">
      <c r="A66" s="6">
        <v>36</v>
      </c>
      <c r="B66" s="4">
        <v>7</v>
      </c>
      <c r="C66" s="4">
        <v>30</v>
      </c>
      <c r="D66" s="4">
        <v>37</v>
      </c>
    </row>
    <row r="67" spans="1:4" x14ac:dyDescent="0.3">
      <c r="A67" s="6">
        <v>37</v>
      </c>
      <c r="B67" s="4">
        <v>4</v>
      </c>
      <c r="C67" s="4">
        <v>28</v>
      </c>
      <c r="D67" s="4">
        <v>32</v>
      </c>
    </row>
    <row r="68" spans="1:4" x14ac:dyDescent="0.3">
      <c r="A68" s="6">
        <v>38</v>
      </c>
      <c r="B68" s="4">
        <v>8</v>
      </c>
      <c r="C68" s="4">
        <v>29</v>
      </c>
      <c r="D68" s="4">
        <v>37</v>
      </c>
    </row>
    <row r="69" spans="1:4" x14ac:dyDescent="0.3">
      <c r="A69" s="6">
        <v>39</v>
      </c>
      <c r="B69" s="4">
        <v>10</v>
      </c>
      <c r="C69" s="4">
        <v>12</v>
      </c>
      <c r="D69" s="4">
        <v>22</v>
      </c>
    </row>
    <row r="70" spans="1:4" x14ac:dyDescent="0.3">
      <c r="A70" s="6">
        <v>40</v>
      </c>
      <c r="B70" s="4">
        <v>24</v>
      </c>
      <c r="C70" s="4">
        <v>18</v>
      </c>
      <c r="D70" s="4">
        <v>42</v>
      </c>
    </row>
    <row r="71" spans="1:4" x14ac:dyDescent="0.3">
      <c r="A71" s="6">
        <v>41</v>
      </c>
      <c r="B71" s="4">
        <v>13</v>
      </c>
      <c r="C71" s="4">
        <v>15</v>
      </c>
      <c r="D71" s="4">
        <v>28</v>
      </c>
    </row>
    <row r="72" spans="1:4" x14ac:dyDescent="0.3">
      <c r="A72" s="6">
        <v>42</v>
      </c>
      <c r="B72" s="4">
        <v>22</v>
      </c>
      <c r="C72" s="4">
        <v>12</v>
      </c>
      <c r="D72" s="4">
        <v>34</v>
      </c>
    </row>
    <row r="73" spans="1:4" x14ac:dyDescent="0.3">
      <c r="A73" s="6">
        <v>43</v>
      </c>
      <c r="B73" s="4">
        <v>17</v>
      </c>
      <c r="C73" s="4">
        <v>19</v>
      </c>
      <c r="D73" s="4">
        <v>36</v>
      </c>
    </row>
    <row r="74" spans="1:4" x14ac:dyDescent="0.3">
      <c r="A74" s="6">
        <v>44</v>
      </c>
      <c r="B74" s="4">
        <v>15</v>
      </c>
      <c r="C74" s="4">
        <v>12</v>
      </c>
      <c r="D74" s="4">
        <v>27</v>
      </c>
    </row>
    <row r="75" spans="1:4" x14ac:dyDescent="0.3">
      <c r="A75" s="6">
        <v>45</v>
      </c>
      <c r="B75" s="4">
        <v>18</v>
      </c>
      <c r="C75" s="4">
        <v>13</v>
      </c>
      <c r="D75" s="4">
        <v>31</v>
      </c>
    </row>
    <row r="76" spans="1:4" x14ac:dyDescent="0.3">
      <c r="A76" s="6">
        <v>46</v>
      </c>
      <c r="B76" s="4">
        <v>12</v>
      </c>
      <c r="C76" s="4">
        <v>15</v>
      </c>
      <c r="D76" s="4">
        <v>27</v>
      </c>
    </row>
    <row r="77" spans="1:4" x14ac:dyDescent="0.3">
      <c r="A77" s="6">
        <v>47</v>
      </c>
      <c r="B77" s="4">
        <v>19</v>
      </c>
      <c r="C77" s="4">
        <v>20</v>
      </c>
      <c r="D77" s="4">
        <v>39</v>
      </c>
    </row>
    <row r="78" spans="1:4" x14ac:dyDescent="0.3">
      <c r="A78" s="6">
        <v>48</v>
      </c>
      <c r="B78" s="4">
        <v>16</v>
      </c>
      <c r="C78" s="4">
        <v>13</v>
      </c>
      <c r="D78" s="4">
        <v>29</v>
      </c>
    </row>
    <row r="79" spans="1:4" x14ac:dyDescent="0.3">
      <c r="A79" s="6">
        <v>49</v>
      </c>
      <c r="B79" s="4">
        <v>15</v>
      </c>
      <c r="C79" s="4">
        <v>8</v>
      </c>
      <c r="D79" s="4">
        <v>23</v>
      </c>
    </row>
    <row r="80" spans="1:4" x14ac:dyDescent="0.3">
      <c r="A80" s="6">
        <v>50</v>
      </c>
      <c r="B80" s="4">
        <v>12</v>
      </c>
      <c r="C80" s="4">
        <v>12</v>
      </c>
      <c r="D80" s="4">
        <v>24</v>
      </c>
    </row>
    <row r="81" spans="1:4" x14ac:dyDescent="0.3">
      <c r="A81" s="6">
        <v>51</v>
      </c>
      <c r="B81" s="4">
        <v>10</v>
      </c>
      <c r="C81" s="4">
        <v>12</v>
      </c>
      <c r="D81" s="4">
        <v>22</v>
      </c>
    </row>
    <row r="82" spans="1:4" x14ac:dyDescent="0.3">
      <c r="A82" s="6">
        <v>52</v>
      </c>
      <c r="B82" s="4">
        <v>10</v>
      </c>
      <c r="C82" s="4">
        <v>15</v>
      </c>
      <c r="D82" s="4">
        <v>25</v>
      </c>
    </row>
    <row r="83" spans="1:4" x14ac:dyDescent="0.3">
      <c r="A83" s="6">
        <v>53</v>
      </c>
      <c r="B83" s="4">
        <v>11</v>
      </c>
      <c r="C83" s="4">
        <v>13</v>
      </c>
      <c r="D83" s="4">
        <v>24</v>
      </c>
    </row>
    <row r="84" spans="1:4" x14ac:dyDescent="0.3">
      <c r="A84" s="6">
        <v>54</v>
      </c>
      <c r="B84" s="4">
        <v>5</v>
      </c>
      <c r="C84" s="4">
        <v>11</v>
      </c>
      <c r="D84" s="4">
        <v>16</v>
      </c>
    </row>
    <row r="85" spans="1:4" x14ac:dyDescent="0.3">
      <c r="A85" s="6">
        <v>55</v>
      </c>
      <c r="B85" s="4">
        <v>13</v>
      </c>
      <c r="C85" s="4">
        <v>5</v>
      </c>
      <c r="D85" s="4">
        <v>18</v>
      </c>
    </row>
    <row r="86" spans="1:4" x14ac:dyDescent="0.3">
      <c r="A86" s="6">
        <v>56</v>
      </c>
      <c r="B86" s="4">
        <v>13</v>
      </c>
      <c r="C86" s="4">
        <v>3</v>
      </c>
      <c r="D86" s="4">
        <v>16</v>
      </c>
    </row>
    <row r="87" spans="1:4" x14ac:dyDescent="0.3">
      <c r="A87" s="6">
        <v>57</v>
      </c>
      <c r="B87" s="4">
        <v>4</v>
      </c>
      <c r="C87" s="4">
        <v>4</v>
      </c>
      <c r="D87" s="4">
        <v>8</v>
      </c>
    </row>
    <row r="88" spans="1:4" x14ac:dyDescent="0.3">
      <c r="A88" s="6">
        <v>58</v>
      </c>
      <c r="B88" s="4">
        <v>8</v>
      </c>
      <c r="C88" s="4">
        <v>4</v>
      </c>
      <c r="D88" s="4">
        <v>12</v>
      </c>
    </row>
    <row r="89" spans="1:4" x14ac:dyDescent="0.3">
      <c r="A89" s="6">
        <v>59</v>
      </c>
      <c r="B89" s="4">
        <v>14</v>
      </c>
      <c r="C89" s="4">
        <v>6</v>
      </c>
      <c r="D89" s="4">
        <v>20</v>
      </c>
    </row>
    <row r="90" spans="1:4" x14ac:dyDescent="0.3">
      <c r="A90" s="6">
        <v>60</v>
      </c>
      <c r="B90" s="4">
        <v>8</v>
      </c>
      <c r="C90" s="4">
        <v>7</v>
      </c>
      <c r="D90" s="4">
        <v>15</v>
      </c>
    </row>
    <row r="91" spans="1:4" x14ac:dyDescent="0.3">
      <c r="A91" s="6">
        <v>61</v>
      </c>
      <c r="B91" s="4">
        <v>5</v>
      </c>
      <c r="C91" s="4">
        <v>4</v>
      </c>
      <c r="D91" s="4">
        <v>9</v>
      </c>
    </row>
    <row r="92" spans="1:4" x14ac:dyDescent="0.3">
      <c r="A92" s="6">
        <v>62</v>
      </c>
      <c r="B92" s="4">
        <v>9</v>
      </c>
      <c r="C92" s="4">
        <v>4</v>
      </c>
      <c r="D92" s="4">
        <v>13</v>
      </c>
    </row>
    <row r="93" spans="1:4" x14ac:dyDescent="0.3">
      <c r="A93" s="6">
        <v>63</v>
      </c>
      <c r="B93" s="4">
        <v>7</v>
      </c>
      <c r="C93" s="4">
        <v>2</v>
      </c>
      <c r="D93" s="4">
        <v>9</v>
      </c>
    </row>
    <row r="94" spans="1:4" x14ac:dyDescent="0.3">
      <c r="A94" s="6">
        <v>64</v>
      </c>
      <c r="B94" s="4">
        <v>7</v>
      </c>
      <c r="C94" s="4">
        <v>3</v>
      </c>
      <c r="D94" s="4">
        <v>10</v>
      </c>
    </row>
    <row r="95" spans="1:4" x14ac:dyDescent="0.3">
      <c r="A95" s="6">
        <v>65</v>
      </c>
      <c r="B95" s="4">
        <v>6</v>
      </c>
      <c r="C95" s="4">
        <v>3</v>
      </c>
      <c r="D95" s="4">
        <v>9</v>
      </c>
    </row>
    <row r="96" spans="1:4" x14ac:dyDescent="0.3">
      <c r="A96" s="6">
        <v>66</v>
      </c>
      <c r="B96" s="4">
        <v>8</v>
      </c>
      <c r="C96" s="4">
        <v>6</v>
      </c>
      <c r="D96" s="4">
        <v>14</v>
      </c>
    </row>
    <row r="97" spans="1:4" x14ac:dyDescent="0.3">
      <c r="A97" s="6">
        <v>67</v>
      </c>
      <c r="B97" s="4">
        <v>8</v>
      </c>
      <c r="C97" s="4">
        <v>2</v>
      </c>
      <c r="D97" s="4">
        <v>10</v>
      </c>
    </row>
    <row r="98" spans="1:4" x14ac:dyDescent="0.3">
      <c r="A98" s="6">
        <v>68</v>
      </c>
      <c r="B98" s="4">
        <v>3</v>
      </c>
      <c r="C98" s="4"/>
      <c r="D98" s="4">
        <v>3</v>
      </c>
    </row>
    <row r="99" spans="1:4" x14ac:dyDescent="0.3">
      <c r="A99" s="6">
        <v>69</v>
      </c>
      <c r="B99" s="4">
        <v>8</v>
      </c>
      <c r="C99" s="4"/>
      <c r="D99" s="4">
        <v>8</v>
      </c>
    </row>
    <row r="100" spans="1:4" x14ac:dyDescent="0.3">
      <c r="A100" s="6">
        <v>70</v>
      </c>
      <c r="B100" s="4">
        <v>3</v>
      </c>
      <c r="C100" s="4">
        <v>1</v>
      </c>
      <c r="D100" s="4">
        <v>4</v>
      </c>
    </row>
    <row r="101" spans="1:4" x14ac:dyDescent="0.3">
      <c r="A101" s="6">
        <v>71</v>
      </c>
      <c r="B101" s="4">
        <v>1</v>
      </c>
      <c r="C101" s="4"/>
      <c r="D101" s="4">
        <v>1</v>
      </c>
    </row>
    <row r="102" spans="1:4" x14ac:dyDescent="0.3">
      <c r="A102" s="6">
        <v>72</v>
      </c>
      <c r="B102" s="4"/>
      <c r="C102" s="4">
        <v>1</v>
      </c>
      <c r="D102" s="4">
        <v>1</v>
      </c>
    </row>
    <row r="103" spans="1:4" x14ac:dyDescent="0.3">
      <c r="A103" s="6">
        <v>73</v>
      </c>
      <c r="B103" s="4">
        <v>2</v>
      </c>
      <c r="C103" s="4">
        <v>2</v>
      </c>
      <c r="D103" s="4">
        <v>4</v>
      </c>
    </row>
    <row r="104" spans="1:4" x14ac:dyDescent="0.3">
      <c r="A104" s="6">
        <v>74</v>
      </c>
      <c r="B104" s="4"/>
      <c r="C104" s="4">
        <v>1</v>
      </c>
      <c r="D104" s="4">
        <v>1</v>
      </c>
    </row>
    <row r="105" spans="1:4" x14ac:dyDescent="0.3">
      <c r="A105" s="6">
        <v>78</v>
      </c>
      <c r="B105" s="4">
        <v>1</v>
      </c>
      <c r="C105" s="4">
        <v>1</v>
      </c>
      <c r="D105" s="4">
        <v>2</v>
      </c>
    </row>
    <row r="106" spans="1:4" x14ac:dyDescent="0.3">
      <c r="A106" s="6">
        <v>80</v>
      </c>
      <c r="B106" s="4">
        <v>1</v>
      </c>
      <c r="C106" s="4"/>
      <c r="D106" s="4">
        <v>1</v>
      </c>
    </row>
    <row r="107" spans="1:4" x14ac:dyDescent="0.3">
      <c r="A107" s="6">
        <v>89</v>
      </c>
      <c r="B107" s="4">
        <v>1</v>
      </c>
      <c r="C107" s="4"/>
      <c r="D107" s="4">
        <v>1</v>
      </c>
    </row>
    <row r="108" spans="1:4" x14ac:dyDescent="0.3">
      <c r="A108" s="6" t="s">
        <v>42</v>
      </c>
      <c r="B108" s="4">
        <v>519</v>
      </c>
      <c r="C108" s="4">
        <v>481</v>
      </c>
      <c r="D108" s="4">
        <v>1000</v>
      </c>
    </row>
  </sheetData>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Dashboard</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Giovany Cesar</cp:lastModifiedBy>
  <dcterms:created xsi:type="dcterms:W3CDTF">2022-03-18T02:50:57Z</dcterms:created>
  <dcterms:modified xsi:type="dcterms:W3CDTF">2024-10-02T22:15:15Z</dcterms:modified>
</cp:coreProperties>
</file>